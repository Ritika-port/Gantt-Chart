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3CBFDCF5-AFC3-43F6-A236-D126C96850B8}" xr6:coauthVersionLast="47" xr6:coauthVersionMax="47" xr10:uidLastSave="{00000000-0000-0000-0000-000000000000}"/>
  <bookViews>
    <workbookView xWindow="-108" yWindow="-108" windowWidth="23256" windowHeight="12456" xr2:uid="{778CEBAD-FA2B-4BD7-B304-02C1731C0FE4}"/>
  </bookViews>
  <sheets>
    <sheet name="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10" i="1"/>
  <c r="J8" i="1"/>
  <c r="K8" i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I8" i="1"/>
  <c r="B5" i="1"/>
  <c r="H8" i="1"/>
  <c r="I9" i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Ritika Sharma</author>
  </authors>
  <commentList>
    <comment ref="B3" authorId="0" shapeId="0" xr:uid="{CD663DD8-EA4F-43CE-A0E9-2CA3327B6A78}">
      <text>
        <r>
          <rPr>
            <b/>
            <sz val="10"/>
            <color indexed="81"/>
            <rFont val="Tahoma"/>
            <family val="2"/>
          </rPr>
          <t>Ritika Sharma:</t>
        </r>
        <r>
          <rPr>
            <sz val="10"/>
            <color indexed="81"/>
            <rFont val="Tahoma"/>
            <family val="2"/>
          </rPr>
          <t xml:space="preserve">
Insert Start Date</t>
        </r>
      </text>
    </comment>
  </commentList>
</comments>
</file>

<file path=xl/sharedStrings.xml><?xml version="1.0" encoding="utf-8"?>
<sst xmlns="http://schemas.openxmlformats.org/spreadsheetml/2006/main" count="38" uniqueCount="28">
  <si>
    <t>Task</t>
  </si>
  <si>
    <t>Project Lead</t>
  </si>
  <si>
    <t xml:space="preserve">Planning Stage </t>
  </si>
  <si>
    <t>Task #1</t>
  </si>
  <si>
    <t>Tushar Mishra</t>
  </si>
  <si>
    <t>Task #2</t>
  </si>
  <si>
    <t>Ritika Sharma</t>
  </si>
  <si>
    <t>Task #3</t>
  </si>
  <si>
    <t>Aron James</t>
  </si>
  <si>
    <t>Task #4</t>
  </si>
  <si>
    <t>Lea Yung</t>
  </si>
  <si>
    <t>Execution Stage</t>
  </si>
  <si>
    <t>So Heyun Gi</t>
  </si>
  <si>
    <t xml:space="preserve">Tesa M Jeff </t>
  </si>
  <si>
    <t>Jacob Moore</t>
  </si>
  <si>
    <t>Elena Banks</t>
  </si>
  <si>
    <t>Review Stage</t>
  </si>
  <si>
    <t>Start Date</t>
  </si>
  <si>
    <t>End Date</t>
  </si>
  <si>
    <t>Days</t>
  </si>
  <si>
    <t>Progress</t>
  </si>
  <si>
    <t>Project Name</t>
  </si>
  <si>
    <t>Project Start</t>
  </si>
  <si>
    <t>Current Start</t>
  </si>
  <si>
    <t>Week in Progress</t>
  </si>
  <si>
    <t>`</t>
  </si>
  <si>
    <t>GANTT CHART</t>
  </si>
  <si>
    <t>ABC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</si>
</sst>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\W\K\ #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FE3"/>
        <bgColor indexed="64"/>
      </patternFill>
    </fill>
    <fill>
      <patternFill patternType="solid">
        <fgColor rgb="FFFFBDD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15" fontId="0" fillId="0" borderId="1" xfId="0" applyNumberFormat="1" applyBorder="1"/>
    <xf numFmtId="9" fontId="0" fillId="0" borderId="1" xfId="0" applyNumberFormat="1" applyBorder="1"/>
    <xf numFmtId="165" fontId="0" fillId="2" borderId="0" xfId="0" applyNumberFormat="1" applyFill="1"/>
    <xf numFmtId="0" fontId="1" fillId="3" borderId="0" xfId="0" applyFont="1" applyFill="1"/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15" fontId="1" fillId="3" borderId="0" xfId="0" applyNumberFormat="1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3" borderId="0" xfId="0" applyFill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4">
    <dxf>
      <fill>
        <patternFill>
          <bgColor rgb="FFF6D5FB"/>
        </patternFill>
      </fill>
    </dxf>
    <dxf>
      <fill>
        <patternFill>
          <bgColor rgb="FFF2A1FD"/>
        </patternFill>
      </fill>
    </dxf>
    <dxf>
      <border>
        <left style="thin">
          <color rgb="FFD51111"/>
        </left>
        <right style="thin">
          <color rgb="FFD51111"/>
        </right>
        <vertical/>
        <horizontal/>
      </border>
    </dxf>
    <dxf>
      <border>
        <left style="thin">
          <color rgb="FFFFFF00"/>
        </left>
        <right style="thin">
          <color rgb="FFFFFF00"/>
        </right>
        <vertical/>
        <horizontal/>
      </border>
    </dxf>
  </dxfs>
  <tableStyles count="0" defaultTableStyle="TableStyleMedium2" defaultPivotStyle="PivotStyleLight16"/>
  <colors>
    <mruColors>
      <color rgb="FFFFBDD3"/>
      <color rgb="FFD51111"/>
      <color rgb="FF710909"/>
      <color rgb="FFF2A1FD"/>
      <color rgb="FFF6D5FB"/>
      <color rgb="FFFDEFE3"/>
      <color rgb="FFFE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204F-4273-4778-9470-E5A56F761A62}">
  <dimension ref="A1:AO23"/>
  <sheetViews>
    <sheetView showGridLines="0" tabSelected="1" zoomScale="77" zoomScaleNormal="115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A26" sqref="A26"/>
    </sheetView>
  </sheetViews>
  <sheetFormatPr defaultRowHeight="14.4" x14ac:dyDescent="0.3"/>
  <cols>
    <col min="1" max="1" width="19.109375" customWidth="1"/>
    <col min="2" max="2" width="15.109375" customWidth="1"/>
    <col min="3" max="6" width="12.6640625" customWidth="1"/>
    <col min="7" max="7" width="3.6640625" customWidth="1"/>
    <col min="8" max="30" width="15.44140625" customWidth="1"/>
    <col min="31" max="35" width="9" bestFit="1" customWidth="1"/>
    <col min="36" max="37" width="9.44140625" bestFit="1" customWidth="1"/>
    <col min="38" max="41" width="9" bestFit="1" customWidth="1"/>
  </cols>
  <sheetData>
    <row r="1" spans="1:41" s="20" customFormat="1" ht="27.6" customHeight="1" x14ac:dyDescent="0.45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41" x14ac:dyDescent="0.3">
      <c r="A2" s="19" t="s">
        <v>21</v>
      </c>
      <c r="B2" s="15" t="s">
        <v>27</v>
      </c>
    </row>
    <row r="3" spans="1:41" x14ac:dyDescent="0.3">
      <c r="A3" s="19" t="s">
        <v>22</v>
      </c>
      <c r="B3" s="16">
        <v>45655</v>
      </c>
    </row>
    <row r="4" spans="1:41" x14ac:dyDescent="0.3">
      <c r="A4" s="19" t="s">
        <v>23</v>
      </c>
      <c r="B4" s="17">
        <v>45689</v>
      </c>
    </row>
    <row r="5" spans="1:41" x14ac:dyDescent="0.3">
      <c r="A5" s="19" t="s">
        <v>24</v>
      </c>
      <c r="B5" s="18">
        <f>ROUNDUP((B4-B3)/7,0)</f>
        <v>5</v>
      </c>
    </row>
    <row r="7" spans="1:41" s="7" customFormat="1" x14ac:dyDescent="0.3">
      <c r="A7" s="7" t="s">
        <v>25</v>
      </c>
    </row>
    <row r="8" spans="1:41" s="9" customFormat="1" x14ac:dyDescent="0.3">
      <c r="A8" s="9" t="s">
        <v>0</v>
      </c>
      <c r="B8" s="9" t="s">
        <v>1</v>
      </c>
      <c r="C8" s="9" t="s">
        <v>17</v>
      </c>
      <c r="D8" s="9" t="s">
        <v>18</v>
      </c>
      <c r="E8" s="9" t="s">
        <v>19</v>
      </c>
      <c r="F8" s="9" t="s">
        <v>20</v>
      </c>
      <c r="H8" s="10">
        <f>B3</f>
        <v>45655</v>
      </c>
      <c r="I8" s="10">
        <f>H8+5</f>
        <v>45660</v>
      </c>
      <c r="J8" s="10">
        <f t="shared" ref="J8:AC8" si="0">I8+5</f>
        <v>45665</v>
      </c>
      <c r="K8" s="10">
        <f t="shared" si="0"/>
        <v>45670</v>
      </c>
      <c r="L8" s="10">
        <f t="shared" si="0"/>
        <v>45675</v>
      </c>
      <c r="M8" s="10">
        <f t="shared" si="0"/>
        <v>45680</v>
      </c>
      <c r="N8" s="10">
        <f t="shared" si="0"/>
        <v>45685</v>
      </c>
      <c r="O8" s="10">
        <f t="shared" si="0"/>
        <v>45690</v>
      </c>
      <c r="P8" s="10">
        <f t="shared" si="0"/>
        <v>45695</v>
      </c>
      <c r="Q8" s="10">
        <f t="shared" si="0"/>
        <v>45700</v>
      </c>
      <c r="R8" s="10">
        <f t="shared" si="0"/>
        <v>45705</v>
      </c>
      <c r="S8" s="10">
        <f t="shared" si="0"/>
        <v>45710</v>
      </c>
      <c r="T8" s="10">
        <f t="shared" si="0"/>
        <v>45715</v>
      </c>
      <c r="U8" s="10">
        <f t="shared" si="0"/>
        <v>45720</v>
      </c>
      <c r="V8" s="10">
        <f t="shared" si="0"/>
        <v>45725</v>
      </c>
      <c r="W8" s="10">
        <f t="shared" si="0"/>
        <v>45730</v>
      </c>
      <c r="X8" s="10">
        <f t="shared" si="0"/>
        <v>45735</v>
      </c>
      <c r="Y8" s="10">
        <f t="shared" si="0"/>
        <v>45740</v>
      </c>
      <c r="Z8" s="10">
        <f t="shared" si="0"/>
        <v>45745</v>
      </c>
      <c r="AA8" s="10">
        <f t="shared" si="0"/>
        <v>45750</v>
      </c>
      <c r="AB8" s="10">
        <f t="shared" si="0"/>
        <v>45755</v>
      </c>
      <c r="AC8" s="10">
        <f t="shared" si="0"/>
        <v>45760</v>
      </c>
      <c r="AD8" s="10"/>
      <c r="AE8" s="10"/>
      <c r="AF8" s="10"/>
      <c r="AG8" s="10"/>
      <c r="AH8" s="10"/>
      <c r="AI8" s="10"/>
      <c r="AJ8" s="10"/>
      <c r="AK8" s="10"/>
    </row>
    <row r="9" spans="1:41" s="1" customFormat="1" x14ac:dyDescent="0.3">
      <c r="A9" s="2" t="s">
        <v>2</v>
      </c>
      <c r="B9" s="2"/>
      <c r="C9" s="2"/>
      <c r="D9" s="2"/>
      <c r="E9" s="2"/>
      <c r="F9" s="2"/>
      <c r="H9" s="6">
        <v>1</v>
      </c>
      <c r="I9" s="6">
        <f>H9+1</f>
        <v>2</v>
      </c>
      <c r="J9" s="6">
        <f t="shared" ref="J9:AC9" si="1">I9+1</f>
        <v>3</v>
      </c>
      <c r="K9" s="6">
        <f t="shared" si="1"/>
        <v>4</v>
      </c>
      <c r="L9" s="6">
        <f t="shared" si="1"/>
        <v>5</v>
      </c>
      <c r="M9" s="6">
        <f t="shared" si="1"/>
        <v>6</v>
      </c>
      <c r="N9" s="6">
        <f t="shared" si="1"/>
        <v>7</v>
      </c>
      <c r="O9" s="6">
        <f t="shared" si="1"/>
        <v>8</v>
      </c>
      <c r="P9" s="6">
        <f t="shared" si="1"/>
        <v>9</v>
      </c>
      <c r="Q9" s="6">
        <f t="shared" si="1"/>
        <v>10</v>
      </c>
      <c r="R9" s="6">
        <f t="shared" si="1"/>
        <v>11</v>
      </c>
      <c r="S9" s="6">
        <f t="shared" si="1"/>
        <v>12</v>
      </c>
      <c r="T9" s="6">
        <f t="shared" si="1"/>
        <v>13</v>
      </c>
      <c r="U9" s="6">
        <f t="shared" si="1"/>
        <v>14</v>
      </c>
      <c r="V9" s="6">
        <f t="shared" si="1"/>
        <v>15</v>
      </c>
      <c r="W9" s="6">
        <f t="shared" si="1"/>
        <v>16</v>
      </c>
      <c r="X9" s="6">
        <f t="shared" si="1"/>
        <v>17</v>
      </c>
      <c r="Y9" s="6">
        <f t="shared" si="1"/>
        <v>18</v>
      </c>
      <c r="Z9" s="6">
        <f t="shared" si="1"/>
        <v>19</v>
      </c>
      <c r="AA9" s="6">
        <f t="shared" si="1"/>
        <v>20</v>
      </c>
      <c r="AB9" s="6">
        <f t="shared" si="1"/>
        <v>21</v>
      </c>
      <c r="AC9" s="6">
        <f t="shared" si="1"/>
        <v>22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x14ac:dyDescent="0.3">
      <c r="A10" s="3" t="s">
        <v>3</v>
      </c>
      <c r="B10" s="3" t="s">
        <v>4</v>
      </c>
      <c r="C10" s="4">
        <v>45655</v>
      </c>
      <c r="D10" s="4">
        <v>45676</v>
      </c>
      <c r="E10" s="8">
        <f>IF(C10="","",D10-C10)</f>
        <v>21</v>
      </c>
      <c r="F10" s="5">
        <v>0.4</v>
      </c>
      <c r="H10" s="1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1"/>
    </row>
    <row r="11" spans="1:41" x14ac:dyDescent="0.3">
      <c r="A11" s="3" t="s">
        <v>5</v>
      </c>
      <c r="B11" s="3" t="s">
        <v>6</v>
      </c>
      <c r="C11" s="4">
        <v>45662</v>
      </c>
      <c r="D11" s="4">
        <v>45691</v>
      </c>
      <c r="E11" s="8">
        <f t="shared" ref="E11:E22" si="2">IF(C11="","",D11-C11)</f>
        <v>29</v>
      </c>
      <c r="F11" s="5">
        <v>0.2</v>
      </c>
      <c r="H11" s="1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11"/>
    </row>
    <row r="12" spans="1:41" x14ac:dyDescent="0.3">
      <c r="A12" s="3" t="s">
        <v>7</v>
      </c>
      <c r="B12" s="3" t="s">
        <v>8</v>
      </c>
      <c r="C12" s="4">
        <v>45664</v>
      </c>
      <c r="D12" s="4">
        <v>45692</v>
      </c>
      <c r="E12" s="8">
        <f t="shared" si="2"/>
        <v>28</v>
      </c>
      <c r="F12" s="5">
        <v>0.3</v>
      </c>
      <c r="H12" s="1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11"/>
    </row>
    <row r="13" spans="1:41" x14ac:dyDescent="0.3">
      <c r="A13" s="3" t="s">
        <v>9</v>
      </c>
      <c r="B13" s="3" t="s">
        <v>10</v>
      </c>
      <c r="C13" s="4">
        <v>45669</v>
      </c>
      <c r="D13" s="4">
        <v>45697</v>
      </c>
      <c r="E13" s="8">
        <f t="shared" si="2"/>
        <v>28</v>
      </c>
      <c r="F13" s="5">
        <v>0.45</v>
      </c>
      <c r="H13" s="1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1"/>
    </row>
    <row r="14" spans="1:41" s="1" customFormat="1" x14ac:dyDescent="0.3">
      <c r="A14" s="2" t="s">
        <v>11</v>
      </c>
      <c r="B14" s="2"/>
      <c r="C14" s="2"/>
      <c r="D14" s="2"/>
      <c r="E14" s="8" t="str">
        <f t="shared" si="2"/>
        <v/>
      </c>
      <c r="F14" s="2"/>
      <c r="H14" s="1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13"/>
    </row>
    <row r="15" spans="1:41" x14ac:dyDescent="0.3">
      <c r="A15" s="3" t="s">
        <v>3</v>
      </c>
      <c r="B15" s="3" t="s">
        <v>12</v>
      </c>
      <c r="C15" s="4">
        <v>45671</v>
      </c>
      <c r="D15" s="4">
        <v>45700</v>
      </c>
      <c r="E15" s="8">
        <f t="shared" si="2"/>
        <v>29</v>
      </c>
      <c r="F15" s="5">
        <v>0.56000000000000005</v>
      </c>
      <c r="H15" s="1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11"/>
    </row>
    <row r="16" spans="1:41" x14ac:dyDescent="0.3">
      <c r="A16" s="3" t="s">
        <v>5</v>
      </c>
      <c r="B16" s="3" t="s">
        <v>13</v>
      </c>
      <c r="C16" s="4">
        <v>45675</v>
      </c>
      <c r="D16" s="4">
        <v>45704</v>
      </c>
      <c r="E16" s="8">
        <f t="shared" si="2"/>
        <v>29</v>
      </c>
      <c r="F16" s="5">
        <v>0.24</v>
      </c>
      <c r="H16" s="1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11"/>
    </row>
    <row r="17" spans="1:29" x14ac:dyDescent="0.3">
      <c r="A17" s="3" t="s">
        <v>7</v>
      </c>
      <c r="B17" s="3" t="s">
        <v>14</v>
      </c>
      <c r="C17" s="4">
        <v>45677</v>
      </c>
      <c r="D17" s="4">
        <v>45706</v>
      </c>
      <c r="E17" s="8">
        <f t="shared" si="2"/>
        <v>29</v>
      </c>
      <c r="F17" s="5">
        <v>0.55000000000000004</v>
      </c>
      <c r="H17" s="1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11"/>
    </row>
    <row r="18" spans="1:29" x14ac:dyDescent="0.3">
      <c r="A18" s="3" t="s">
        <v>9</v>
      </c>
      <c r="B18" s="3" t="s">
        <v>15</v>
      </c>
      <c r="C18" s="4">
        <v>45680</v>
      </c>
      <c r="D18" s="4">
        <v>45711</v>
      </c>
      <c r="E18" s="8">
        <f t="shared" si="2"/>
        <v>31</v>
      </c>
      <c r="F18" s="5">
        <v>0.8</v>
      </c>
      <c r="H18" s="1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11"/>
    </row>
    <row r="19" spans="1:29" s="1" customFormat="1" x14ac:dyDescent="0.3">
      <c r="A19" s="2" t="s">
        <v>16</v>
      </c>
      <c r="B19" s="2"/>
      <c r="C19" s="2"/>
      <c r="D19" s="2"/>
      <c r="E19" s="8" t="str">
        <f t="shared" si="2"/>
        <v/>
      </c>
      <c r="F19" s="2"/>
      <c r="H19" s="1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3"/>
    </row>
    <row r="20" spans="1:29" x14ac:dyDescent="0.3">
      <c r="A20" s="3" t="s">
        <v>3</v>
      </c>
      <c r="B20" s="3" t="s">
        <v>4</v>
      </c>
      <c r="C20" s="4">
        <v>45683</v>
      </c>
      <c r="D20" s="4">
        <v>45714</v>
      </c>
      <c r="E20" s="8">
        <f t="shared" si="2"/>
        <v>31</v>
      </c>
      <c r="F20" s="5">
        <v>0.75</v>
      </c>
      <c r="H20" s="1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11"/>
    </row>
    <row r="21" spans="1:29" x14ac:dyDescent="0.3">
      <c r="A21" s="3" t="s">
        <v>5</v>
      </c>
      <c r="B21" s="3" t="s">
        <v>6</v>
      </c>
      <c r="C21" s="4">
        <v>45685</v>
      </c>
      <c r="D21" s="4">
        <v>45718</v>
      </c>
      <c r="E21" s="8">
        <f t="shared" si="2"/>
        <v>33</v>
      </c>
      <c r="F21" s="5">
        <v>0.6</v>
      </c>
      <c r="H21" s="1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1"/>
    </row>
    <row r="22" spans="1:29" x14ac:dyDescent="0.3">
      <c r="A22" s="3" t="s">
        <v>7</v>
      </c>
      <c r="B22" s="3" t="s">
        <v>8</v>
      </c>
      <c r="C22" s="4">
        <v>45693</v>
      </c>
      <c r="D22" s="4">
        <v>45722</v>
      </c>
      <c r="E22" s="8">
        <f t="shared" si="2"/>
        <v>29</v>
      </c>
      <c r="F22" s="5">
        <v>0.5</v>
      </c>
      <c r="H22" s="1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11"/>
    </row>
    <row r="23" spans="1:29" s="20" customFormat="1" x14ac:dyDescent="0.3"/>
  </sheetData>
  <mergeCells count="1">
    <mergeCell ref="A1:AD1"/>
  </mergeCells>
  <conditionalFormatting sqref="F10:F22">
    <cfRule type="dataBar" priority="4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{8D69FBA7-6FFF-40DE-8C73-1EFF73320AD3}</x14:id>
        </ext>
      </extLst>
    </cfRule>
  </conditionalFormatting>
  <conditionalFormatting sqref="H2:AC1048576">
    <cfRule type="expression" dxfId="3" priority="2">
      <formula>H$7=$B$5</formula>
    </cfRule>
  </conditionalFormatting>
  <conditionalFormatting sqref="H7:AC22">
    <cfRule type="expression" dxfId="2" priority="1">
      <formula>H$9=$B$5</formula>
    </cfRule>
  </conditionalFormatting>
  <conditionalFormatting sqref="H10:AC22">
    <cfRule type="expression" dxfId="1" priority="3">
      <formula>AND(H$8&gt;=$C10,H$8&lt;=$C10+($E10*$F10)-1)</formula>
    </cfRule>
    <cfRule type="expression" dxfId="0" priority="5">
      <formula>AND(H$8&gt;=$C10,H$8&lt;=$D10)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69FBA7-6FFF-40DE-8C73-1EFF73320AD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F10:F22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Ritika</dc:creator>
  <cp:lastModifiedBy>Sharma, Ritika</cp:lastModifiedBy>
  <dcterms:created xsi:type="dcterms:W3CDTF">2025-12-29T17:51:07Z</dcterms:created>
  <dcterms:modified xsi:type="dcterms:W3CDTF">2025-12-29T20:57:57Z</dcterms:modified>
</cp:coreProperties>
</file>